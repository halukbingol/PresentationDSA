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ngol/Documents/hb-Academic/Courses/cCis11x-common/cis11x-2026-3-common/Syllabus-LaTeX/"/>
    </mc:Choice>
  </mc:AlternateContent>
  <xr:revisionPtr revIDLastSave="0" documentId="8_{F2CEE629-0738-F144-8C42-1913EE5C5E89}" xr6:coauthVersionLast="47" xr6:coauthVersionMax="47" xr10:uidLastSave="{00000000-0000-0000-0000-000000000000}"/>
  <bookViews>
    <workbookView xWindow="12000" yWindow="-28200" windowWidth="28040" windowHeight="17440" activeTab="1" xr2:uid="{43F04079-701F-514C-8FB9-C2E010C589CE}"/>
  </bookViews>
  <sheets>
    <sheet name="cis111" sheetId="2" r:id="rId1"/>
    <sheet name="cis11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AA6" i="1"/>
  <c r="AA7" i="1"/>
  <c r="AA8" i="1"/>
  <c r="AA9" i="1"/>
  <c r="AA10" i="1"/>
  <c r="AA11" i="1"/>
  <c r="AA12" i="1"/>
  <c r="AA13" i="1"/>
  <c r="AA14" i="1"/>
  <c r="AA15" i="1"/>
  <c r="AA16" i="1"/>
  <c r="AA17" i="1"/>
  <c r="AA4" i="1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4" i="2"/>
  <c r="C6" i="1"/>
  <c r="I6" i="1" s="1"/>
  <c r="C5" i="1"/>
  <c r="I5" i="1" s="1"/>
  <c r="C4" i="1"/>
  <c r="I4" i="1" s="1"/>
  <c r="I1" i="1"/>
  <c r="C5" i="2"/>
  <c r="I5" i="2" s="1"/>
  <c r="C6" i="2"/>
  <c r="I6" i="2" s="1"/>
  <c r="C7" i="2"/>
  <c r="I7" i="2" s="1"/>
  <c r="C8" i="2"/>
  <c r="I8" i="2" s="1"/>
  <c r="C9" i="2"/>
  <c r="I9" i="2" s="1"/>
  <c r="C10" i="2"/>
  <c r="I10" i="2" s="1"/>
  <c r="C11" i="2"/>
  <c r="I11" i="2" s="1"/>
  <c r="C4" i="2"/>
  <c r="I4" i="2" s="1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R1" i="2"/>
  <c r="I1" i="2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AA1" i="1"/>
  <c r="R6" i="1"/>
  <c r="R5" i="1"/>
  <c r="R4" i="1"/>
  <c r="R1" i="1"/>
</calcChain>
</file>

<file path=xl/sharedStrings.xml><?xml version="1.0" encoding="utf-8"?>
<sst xmlns="http://schemas.openxmlformats.org/spreadsheetml/2006/main" count="253" uniqueCount="85">
  <si>
    <t>Course</t>
  </si>
  <si>
    <t>Sec.</t>
  </si>
  <si>
    <t>Instructor</t>
  </si>
  <si>
    <t>Lecture</t>
  </si>
  <si>
    <t>Lab</t>
  </si>
  <si>
    <t>TA</t>
  </si>
  <si>
    <t>Size</t>
  </si>
  <si>
    <t>cis112</t>
  </si>
  <si>
    <t>HalukBingol</t>
  </si>
  <si>
    <t>M 14:00 @120</t>
  </si>
  <si>
    <t>W 14:00 @ 206</t>
  </si>
  <si>
    <t>Kagan Ozetci</t>
  </si>
  <si>
    <t>Ruhan Ikeda</t>
  </si>
  <si>
    <t>M 11:00@H-Z03</t>
  </si>
  <si>
    <t>W 11:00 @ 210</t>
  </si>
  <si>
    <t>T 11:00 @ 206</t>
  </si>
  <si>
    <t>Berke Celtikci</t>
  </si>
  <si>
    <t>_</t>
  </si>
  <si>
    <t>.</t>
  </si>
  <si>
    <t>Week of</t>
  </si>
  <si>
    <t>W</t>
  </si>
  <si>
    <t>Milestones</t>
  </si>
  <si>
    <t>Topics</t>
  </si>
  <si>
    <t>\,</t>
  </si>
  <si>
    <t>04-OOP: Generics + ArrayLists</t>
  </si>
  <si>
    <t>05-Array: Stack</t>
  </si>
  <si>
    <t>06-Array: Queue (normal+circular)</t>
  </si>
  <si>
    <t xml:space="preserve">07-Generic: Stack + Queue </t>
  </si>
  <si>
    <t>Midterm-1</t>
  </si>
  <si>
    <t>08-LinkedList: Singly + Doubly</t>
  </si>
  <si>
    <t>09-LinkedList: Stack + Queue + Deque</t>
  </si>
  <si>
    <t>10-Trees: Binary + N-ary + Traverse</t>
  </si>
  <si>
    <t>11-Trees: Binary Search Trees</t>
  </si>
  <si>
    <t>Midterm-2</t>
  </si>
  <si>
    <t>12-Trees: Heap + PriorityQueue</t>
  </si>
  <si>
    <t>13-Hashing</t>
  </si>
  <si>
    <t>14-Graph: Representation + Algorithms</t>
  </si>
  <si>
    <t>cis111</t>
  </si>
  <si>
    <t>M 11:00@H-102</t>
  </si>
  <si>
    <t>T 11:00 @ 304B</t>
  </si>
  <si>
    <t>Ethem Sahin</t>
  </si>
  <si>
    <t>W 11:00 @ 304B</t>
  </si>
  <si>
    <t>Seren Ucar</t>
  </si>
  <si>
    <t>Sait Erkovan</t>
  </si>
  <si>
    <t>T 09:00 @H-212</t>
  </si>
  <si>
    <t>Th 13:00 @ 304B</t>
  </si>
  <si>
    <t>Th 15:00 @ 304B</t>
  </si>
  <si>
    <t>Yasemin Demirel</t>
  </si>
  <si>
    <t>M 09:00 @H-230</t>
  </si>
  <si>
    <t>Th 09:00 @ 304B</t>
  </si>
  <si>
    <t>Th 11:00 @ 304B</t>
  </si>
  <si>
    <t>Incinur Cem</t>
  </si>
  <si>
    <t>M 14:00 @118</t>
  </si>
  <si>
    <t>T 09:00 @ 304B</t>
  </si>
  <si>
    <t>W 09:00 @ 304B</t>
  </si>
  <si>
    <r>
      <t xml:space="preserve">Kagan </t>
    </r>
    <r>
      <rPr>
        <sz val="11"/>
        <color rgb="FF000000"/>
        <rFont val="Arial"/>
        <family val="2"/>
      </rPr>
      <t>Ozetci</t>
    </r>
  </si>
  <si>
    <t>CourseSection</t>
  </si>
  <si>
    <t>01-Computational thinking</t>
  </si>
  <si>
    <t>09-String</t>
  </si>
  <si>
    <t>13-Command Line Interface (CLI)</t>
  </si>
  <si>
    <t>14-git</t>
  </si>
  <si>
    <t>Reading</t>
  </si>
  <si>
    <t>02-Computer concepts + eclipse/run, editor + int variable</t>
  </si>
  <si>
    <t>03-Fundamental data types + eclipse/debugging</t>
  </si>
  <si>
    <t>bjlo2-Ch02</t>
  </si>
  <si>
    <t>04-Decisions</t>
  </si>
  <si>
    <t>bjlo2-Ch03</t>
  </si>
  <si>
    <t>05-Loops</t>
  </si>
  <si>
    <t>bjlo2-Ch04</t>
  </si>
  <si>
    <t>06-Methods</t>
  </si>
  <si>
    <t>bjlo2-Ch05</t>
  </si>
  <si>
    <t>07-Arrays 1D</t>
  </si>
  <si>
    <t>bjlo2-Ch06</t>
  </si>
  <si>
    <t>08-Arrays 2D</t>
  </si>
  <si>
    <t>10-Input/Output</t>
  </si>
  <si>
    <t>bjlo2-Ch07</t>
  </si>
  <si>
    <t>11-Exception handling + Testing jUnit</t>
  </si>
  <si>
    <t>12-Recursion</t>
  </si>
  <si>
    <t>bjlo2-Ch13</t>
  </si>
  <si>
    <t>01-OOP: Objects and classes</t>
  </si>
  <si>
    <t>bjlo2-Ch08</t>
  </si>
  <si>
    <t>02-OOP: Inheritance</t>
  </si>
  <si>
    <t>bjeo7-Ch09</t>
  </si>
  <si>
    <t>03-OOP: Interfaces</t>
  </si>
  <si>
    <t>bjeo7-Ch10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</si>
</sst>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3" fillId="5" borderId="2" xfId="0" applyNumberFormat="1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1" fillId="5" borderId="0" xfId="0" applyFont="1" applyFill="1"/>
    <xf numFmtId="0" fontId="2" fillId="5" borderId="2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justify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164" fontId="3" fillId="5" borderId="3" xfId="0" applyNumberFormat="1" applyFont="1" applyFill="1" applyBorder="1" applyAlignment="1">
      <alignment vertical="center"/>
    </xf>
    <xf numFmtId="0" fontId="3" fillId="5" borderId="3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E49E-3DF2-1D4E-9EE6-A0E1D72C0EA5}">
  <dimension ref="A1:S20"/>
  <sheetViews>
    <sheetView showWhiteSpace="0" topLeftCell="K1" zoomScaleNormal="100" workbookViewId="0">
      <selection activeCell="R21" sqref="R21"/>
    </sheetView>
  </sheetViews>
  <sheetFormatPr baseColWidth="10" defaultRowHeight="16" x14ac:dyDescent="0.2"/>
  <cols>
    <col min="1" max="1" width="8.1640625" style="1" bestFit="1" customWidth="1"/>
    <col min="2" max="2" width="5.33203125" style="1" bestFit="1" customWidth="1"/>
    <col min="3" max="3" width="15.33203125" style="1" bestFit="1" customWidth="1"/>
    <col min="4" max="4" width="12.83203125" style="1" bestFit="1" customWidth="1"/>
    <col min="5" max="5" width="16.33203125" style="1" bestFit="1" customWidth="1"/>
    <col min="6" max="6" width="15.1640625" style="1" bestFit="1" customWidth="1"/>
    <col min="7" max="7" width="13.6640625" style="1" bestFit="1" customWidth="1"/>
    <col min="8" max="8" width="5.1640625" style="1" bestFit="1" customWidth="1"/>
    <col min="9" max="9" width="81.1640625" style="1" bestFit="1" customWidth="1"/>
    <col min="10" max="10" width="2.33203125" style="18" bestFit="1" customWidth="1"/>
    <col min="11" max="11" width="10.83203125" style="1"/>
    <col min="12" max="12" width="11.83203125" style="1" bestFit="1" customWidth="1"/>
    <col min="13" max="13" width="3.5" style="1" bestFit="1" customWidth="1"/>
    <col min="14" max="14" width="11.83203125" style="1" bestFit="1" customWidth="1"/>
    <col min="15" max="15" width="11.5" style="1" bestFit="1" customWidth="1"/>
    <col min="16" max="16" width="41.5" style="1" bestFit="1" customWidth="1"/>
    <col min="17" max="17" width="9.5" style="1" bestFit="1" customWidth="1"/>
    <col min="18" max="18" width="63.6640625" style="1" bestFit="1" customWidth="1"/>
    <col min="19" max="19" width="2.33203125" style="18" bestFit="1" customWidth="1"/>
    <col min="20" max="16384" width="10.83203125" style="1"/>
  </cols>
  <sheetData>
    <row r="1" spans="1:19" x14ac:dyDescent="0.2">
      <c r="A1" s="4" t="s">
        <v>0</v>
      </c>
      <c r="B1" s="4" t="s">
        <v>1</v>
      </c>
      <c r="C1" s="4" t="s">
        <v>56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" t="str">
        <f>SUBSTITUTE(_xlfn.TEXTJOIN(" &amp; ",TRUE,A1:H1) &amp; " \\", "%", "\%")</f>
        <v>Course &amp; Sec. &amp; CourseSection &amp; Instructor &amp; Lecture &amp; Lab &amp; TA &amp; Size \\</v>
      </c>
      <c r="J1" s="17" t="s">
        <v>17</v>
      </c>
      <c r="L1" s="2" t="s">
        <v>19</v>
      </c>
      <c r="M1" s="3" t="s">
        <v>20</v>
      </c>
      <c r="N1" s="2" t="s">
        <v>19</v>
      </c>
      <c r="O1" s="4" t="s">
        <v>21</v>
      </c>
      <c r="P1" s="4" t="s">
        <v>22</v>
      </c>
      <c r="Q1" s="22" t="s">
        <v>61</v>
      </c>
      <c r="R1" s="1" t="str">
        <f>SUBSTITUTE(_xlfn.TEXTJOIN(" &amp; ",TRUE,M1:P1) &amp; " \\", "%", "\%")</f>
        <v>W &amp; Week of &amp; Milestones &amp; Topics \\</v>
      </c>
      <c r="S1" s="17" t="s">
        <v>17</v>
      </c>
    </row>
    <row r="2" spans="1:19" x14ac:dyDescent="0.2">
      <c r="A2" s="10"/>
      <c r="B2" s="10"/>
      <c r="C2" s="10"/>
      <c r="D2" s="10"/>
      <c r="E2" s="10"/>
      <c r="F2" s="10"/>
      <c r="G2" s="10"/>
      <c r="H2" s="10"/>
      <c r="J2" s="17" t="s">
        <v>18</v>
      </c>
      <c r="S2" s="17" t="s">
        <v>18</v>
      </c>
    </row>
    <row r="3" spans="1:19" x14ac:dyDescent="0.2">
      <c r="A3" s="16"/>
      <c r="B3" s="16"/>
      <c r="C3" s="16"/>
      <c r="D3" s="16"/>
      <c r="E3" s="16"/>
      <c r="F3" s="16"/>
      <c r="G3" s="16"/>
      <c r="H3" s="16"/>
      <c r="I3" s="15"/>
      <c r="J3" s="17" t="s">
        <v>18</v>
      </c>
      <c r="L3" s="11"/>
      <c r="M3" s="12"/>
      <c r="N3" s="11"/>
      <c r="O3" s="13"/>
      <c r="P3" s="13"/>
      <c r="Q3" s="13"/>
      <c r="R3" s="15"/>
      <c r="S3" s="17"/>
    </row>
    <row r="4" spans="1:19" x14ac:dyDescent="0.2">
      <c r="A4" s="19" t="s">
        <v>37</v>
      </c>
      <c r="B4" s="20">
        <v>1</v>
      </c>
      <c r="C4" s="20" t="str">
        <f>"\textbf{"&amp;A4&amp;"."&amp;TEXT(B4,"00")&amp;"}"</f>
        <v>\textbf{cis111.01}</v>
      </c>
      <c r="D4" s="21" t="s">
        <v>8</v>
      </c>
      <c r="E4" s="19" t="s">
        <v>38</v>
      </c>
      <c r="F4" s="19" t="s">
        <v>39</v>
      </c>
      <c r="G4" s="19" t="s">
        <v>40</v>
      </c>
      <c r="H4" s="20">
        <v>40</v>
      </c>
      <c r="I4" s="1" t="str">
        <f>SUBSTITUTE(_xlfn.TEXTJOIN(" &amp; ",TRUE,C4:H4) &amp; " \\", "%", "\%")</f>
        <v>\textbf{cis111.01} &amp; HalukBingol &amp; M 11:00@H-102 &amp; T 11:00 @ 304B &amp; Ethem Sahin &amp; 40 \\</v>
      </c>
      <c r="J4" s="17" t="s">
        <v>18</v>
      </c>
      <c r="L4" s="5">
        <v>46293</v>
      </c>
      <c r="M4" s="6">
        <v>1</v>
      </c>
      <c r="N4" s="5" t="str">
        <f>TEXT(L4,"yyyy-aa-gg")</f>
        <v>2026-09-28</v>
      </c>
      <c r="O4" s="7" t="s">
        <v>23</v>
      </c>
      <c r="P4" s="21" t="s">
        <v>57</v>
      </c>
      <c r="Q4" s="21" t="s">
        <v>23</v>
      </c>
      <c r="R4" s="1" t="str">
        <f>SUBSTITUTE(_xlfn.TEXTJOIN(" &amp; ",TRUE,M4:Q4) &amp; " \\", "%", "\%")</f>
        <v>1 &amp; 2026-09-28 &amp; \, &amp; 01-Computational thinking &amp; \, \\</v>
      </c>
      <c r="S4" s="17" t="s">
        <v>18</v>
      </c>
    </row>
    <row r="5" spans="1:19" x14ac:dyDescent="0.2">
      <c r="A5" s="21" t="s">
        <v>37</v>
      </c>
      <c r="B5" s="20">
        <v>2</v>
      </c>
      <c r="C5" s="20" t="str">
        <f t="shared" ref="C5:C11" si="0">"\textbf{"&amp;A5&amp;"."&amp;TEXT(B5,"00")&amp;"}"</f>
        <v>\textbf{cis111.02}</v>
      </c>
      <c r="D5" s="21" t="s">
        <v>8</v>
      </c>
      <c r="E5" s="19" t="s">
        <v>38</v>
      </c>
      <c r="F5" s="19" t="s">
        <v>41</v>
      </c>
      <c r="G5" s="19" t="s">
        <v>42</v>
      </c>
      <c r="H5" s="20">
        <v>40</v>
      </c>
      <c r="I5" s="1" t="str">
        <f t="shared" ref="I5:I11" si="1">SUBSTITUTE(_xlfn.TEXTJOIN(" &amp; ",TRUE,C5:H5) &amp; " \\", "%", "\%")</f>
        <v>\textbf{cis111.02} &amp; HalukBingol &amp; M 11:00@H-102 &amp; W 11:00 @ 304B &amp; Seren Ucar &amp; 40 \\</v>
      </c>
      <c r="J5" s="17" t="s">
        <v>18</v>
      </c>
      <c r="L5" s="5">
        <v>46300</v>
      </c>
      <c r="M5" s="6">
        <v>2</v>
      </c>
      <c r="N5" s="5" t="str">
        <f t="shared" ref="N5:N17" si="2">TEXT(L5,"yyyy-aa-gg")</f>
        <v>2026-10-05</v>
      </c>
      <c r="O5" s="7" t="s">
        <v>23</v>
      </c>
      <c r="P5" s="21" t="s">
        <v>62</v>
      </c>
      <c r="Q5" s="21" t="s">
        <v>23</v>
      </c>
      <c r="R5" s="1" t="str">
        <f t="shared" ref="R5:R17" si="3">SUBSTITUTE(_xlfn.TEXTJOIN(" &amp; ",TRUE,M5:Q5) &amp; " \\", "%", "\%")</f>
        <v>2 &amp; 2026-10-05 &amp; \, &amp; 02-Computer concepts + eclipse/run, editor + int variable &amp; \, \\</v>
      </c>
      <c r="S5" s="17" t="s">
        <v>18</v>
      </c>
    </row>
    <row r="6" spans="1:19" x14ac:dyDescent="0.2">
      <c r="A6" s="21" t="s">
        <v>37</v>
      </c>
      <c r="B6" s="20">
        <v>3</v>
      </c>
      <c r="C6" s="20" t="str">
        <f t="shared" si="0"/>
        <v>\textbf{cis111.03}</v>
      </c>
      <c r="D6" s="21" t="s">
        <v>43</v>
      </c>
      <c r="E6" s="19" t="s">
        <v>44</v>
      </c>
      <c r="F6" s="19" t="s">
        <v>45</v>
      </c>
      <c r="G6" s="19" t="s">
        <v>42</v>
      </c>
      <c r="H6" s="20">
        <v>40</v>
      </c>
      <c r="I6" s="1" t="str">
        <f t="shared" si="1"/>
        <v>\textbf{cis111.03} &amp; Sait Erkovan &amp; T 09:00 @H-212 &amp; Th 13:00 @ 304B &amp; Seren Ucar &amp; 40 \\</v>
      </c>
      <c r="J6" s="17" t="s">
        <v>18</v>
      </c>
      <c r="L6" s="5">
        <v>46307</v>
      </c>
      <c r="M6" s="6">
        <v>3</v>
      </c>
      <c r="N6" s="5" t="str">
        <f t="shared" si="2"/>
        <v>2026-10-12</v>
      </c>
      <c r="O6" s="7" t="s">
        <v>23</v>
      </c>
      <c r="P6" s="21" t="s">
        <v>63</v>
      </c>
      <c r="Q6" s="21" t="s">
        <v>64</v>
      </c>
      <c r="R6" s="1" t="str">
        <f t="shared" si="3"/>
        <v>3 &amp; 2026-10-12 &amp; \, &amp; 03-Fundamental data types + eclipse/debugging &amp; bjlo2-Ch02 \\</v>
      </c>
      <c r="S6" s="17" t="s">
        <v>18</v>
      </c>
    </row>
    <row r="7" spans="1:19" x14ac:dyDescent="0.2">
      <c r="A7" s="21" t="s">
        <v>37</v>
      </c>
      <c r="B7" s="20">
        <v>4</v>
      </c>
      <c r="C7" s="20" t="str">
        <f t="shared" si="0"/>
        <v>\textbf{cis111.04}</v>
      </c>
      <c r="D7" s="21" t="s">
        <v>43</v>
      </c>
      <c r="E7" s="19" t="s">
        <v>44</v>
      </c>
      <c r="F7" s="19" t="s">
        <v>46</v>
      </c>
      <c r="G7" s="19" t="s">
        <v>42</v>
      </c>
      <c r="H7" s="20">
        <v>37</v>
      </c>
      <c r="I7" s="1" t="str">
        <f t="shared" si="1"/>
        <v>\textbf{cis111.04} &amp; Sait Erkovan &amp; T 09:00 @H-212 &amp; Th 15:00 @ 304B &amp; Seren Ucar &amp; 37 \\</v>
      </c>
      <c r="J7" s="17" t="s">
        <v>18</v>
      </c>
      <c r="L7" s="9">
        <v>46307</v>
      </c>
      <c r="M7" s="6">
        <v>4</v>
      </c>
      <c r="N7" s="5" t="str">
        <f t="shared" si="2"/>
        <v>2026-10-12</v>
      </c>
      <c r="O7" s="7" t="s">
        <v>23</v>
      </c>
      <c r="P7" s="21" t="s">
        <v>65</v>
      </c>
      <c r="Q7" s="21" t="s">
        <v>66</v>
      </c>
      <c r="R7" s="1" t="str">
        <f t="shared" si="3"/>
        <v>4 &amp; 2026-10-12 &amp; \, &amp; 04-Decisions &amp; bjlo2-Ch03 \\</v>
      </c>
      <c r="S7" s="17" t="s">
        <v>18</v>
      </c>
    </row>
    <row r="8" spans="1:19" x14ac:dyDescent="0.2">
      <c r="A8" s="21" t="s">
        <v>37</v>
      </c>
      <c r="B8" s="20">
        <v>5</v>
      </c>
      <c r="C8" s="20" t="str">
        <f t="shared" si="0"/>
        <v>\textbf{cis111.05}</v>
      </c>
      <c r="D8" s="21" t="s">
        <v>47</v>
      </c>
      <c r="E8" s="19" t="s">
        <v>48</v>
      </c>
      <c r="F8" s="19" t="s">
        <v>49</v>
      </c>
      <c r="G8" s="19" t="s">
        <v>40</v>
      </c>
      <c r="H8" s="20">
        <v>30</v>
      </c>
      <c r="I8" s="1" t="str">
        <f t="shared" si="1"/>
        <v>\textbf{cis111.05} &amp; Yasemin Demirel &amp; M 09:00 @H-230 &amp; Th 09:00 @ 304B &amp; Ethem Sahin &amp; 30 \\</v>
      </c>
      <c r="J8" s="17" t="s">
        <v>18</v>
      </c>
      <c r="L8" s="5">
        <v>46314</v>
      </c>
      <c r="M8" s="6">
        <v>5</v>
      </c>
      <c r="N8" s="5" t="str">
        <f t="shared" si="2"/>
        <v>2026-10-19</v>
      </c>
      <c r="O8" s="7" t="s">
        <v>23</v>
      </c>
      <c r="P8" s="21" t="s">
        <v>67</v>
      </c>
      <c r="Q8" s="21" t="s">
        <v>68</v>
      </c>
      <c r="R8" s="1" t="str">
        <f t="shared" si="3"/>
        <v>5 &amp; 2026-10-19 &amp; \, &amp; 05-Loops &amp; bjlo2-Ch04 \\</v>
      </c>
      <c r="S8" s="17" t="s">
        <v>18</v>
      </c>
    </row>
    <row r="9" spans="1:19" x14ac:dyDescent="0.2">
      <c r="A9" s="21" t="s">
        <v>37</v>
      </c>
      <c r="B9" s="20">
        <v>6</v>
      </c>
      <c r="C9" s="20" t="str">
        <f t="shared" si="0"/>
        <v>\textbf{cis111.06}</v>
      </c>
      <c r="D9" s="21" t="s">
        <v>47</v>
      </c>
      <c r="E9" s="19" t="s">
        <v>48</v>
      </c>
      <c r="F9" s="19" t="s">
        <v>50</v>
      </c>
      <c r="G9" s="19" t="s">
        <v>51</v>
      </c>
      <c r="H9" s="20">
        <v>40</v>
      </c>
      <c r="I9" s="1" t="str">
        <f t="shared" si="1"/>
        <v>\textbf{cis111.06} &amp; Yasemin Demirel &amp; M 09:00 @H-230 &amp; Th 11:00 @ 304B &amp; Incinur Cem &amp; 40 \\</v>
      </c>
      <c r="J9" s="17" t="s">
        <v>18</v>
      </c>
      <c r="L9" s="5">
        <v>46321</v>
      </c>
      <c r="M9" s="6">
        <v>6</v>
      </c>
      <c r="N9" s="5" t="str">
        <f t="shared" si="2"/>
        <v>2026-10-26</v>
      </c>
      <c r="O9" s="7" t="s">
        <v>23</v>
      </c>
      <c r="P9" s="21" t="s">
        <v>69</v>
      </c>
      <c r="Q9" s="21" t="s">
        <v>70</v>
      </c>
      <c r="R9" s="1" t="str">
        <f t="shared" si="3"/>
        <v>6 &amp; 2026-10-26 &amp; \, &amp; 06-Methods &amp; bjlo2-Ch05 \\</v>
      </c>
      <c r="S9" s="17" t="s">
        <v>18</v>
      </c>
    </row>
    <row r="10" spans="1:19" x14ac:dyDescent="0.2">
      <c r="A10" s="21" t="s">
        <v>37</v>
      </c>
      <c r="B10" s="20">
        <v>7</v>
      </c>
      <c r="C10" s="20" t="str">
        <f t="shared" si="0"/>
        <v>\textbf{cis111.07}</v>
      </c>
      <c r="D10" s="21" t="s">
        <v>12</v>
      </c>
      <c r="E10" s="19" t="s">
        <v>52</v>
      </c>
      <c r="F10" s="19" t="s">
        <v>53</v>
      </c>
      <c r="G10" s="19" t="s">
        <v>40</v>
      </c>
      <c r="H10" s="20">
        <v>28</v>
      </c>
      <c r="I10" s="1" t="str">
        <f t="shared" si="1"/>
        <v>\textbf{cis111.07} &amp; Ruhan Ikeda &amp; M 14:00 @118 &amp; T 09:00 @ 304B &amp; Ethem Sahin &amp; 28 \\</v>
      </c>
      <c r="J10" s="17" t="s">
        <v>18</v>
      </c>
      <c r="L10" s="5">
        <v>46328</v>
      </c>
      <c r="M10" s="6">
        <v>7</v>
      </c>
      <c r="N10" s="5" t="str">
        <f t="shared" si="2"/>
        <v>2026-11-02</v>
      </c>
      <c r="O10" s="7" t="s">
        <v>23</v>
      </c>
      <c r="P10" s="21" t="s">
        <v>71</v>
      </c>
      <c r="Q10" s="21" t="s">
        <v>72</v>
      </c>
      <c r="R10" s="1" t="str">
        <f t="shared" si="3"/>
        <v>7 &amp; 2026-11-02 &amp; \, &amp; 07-Arrays 1D &amp; bjlo2-Ch06 \\</v>
      </c>
      <c r="S10" s="17" t="s">
        <v>18</v>
      </c>
    </row>
    <row r="11" spans="1:19" x14ac:dyDescent="0.2">
      <c r="A11" s="21" t="s">
        <v>37</v>
      </c>
      <c r="B11" s="20">
        <v>8</v>
      </c>
      <c r="C11" s="20" t="str">
        <f t="shared" si="0"/>
        <v>\textbf{cis111.08}</v>
      </c>
      <c r="D11" s="21" t="s">
        <v>12</v>
      </c>
      <c r="E11" s="19" t="s">
        <v>52</v>
      </c>
      <c r="F11" s="19" t="s">
        <v>54</v>
      </c>
      <c r="G11" s="19" t="s">
        <v>55</v>
      </c>
      <c r="H11" s="20">
        <v>21</v>
      </c>
      <c r="I11" s="1" t="str">
        <f t="shared" si="1"/>
        <v>\textbf{cis111.08} &amp; Ruhan Ikeda &amp; M 14:00 @118 &amp; W 09:00 @ 304B &amp; Kagan Ozetci &amp; 21 \\</v>
      </c>
      <c r="J11" s="17" t="s">
        <v>18</v>
      </c>
      <c r="L11" s="5">
        <v>46335</v>
      </c>
      <c r="M11" s="6">
        <v>8</v>
      </c>
      <c r="N11" s="5" t="str">
        <f t="shared" si="2"/>
        <v>2026-11-09</v>
      </c>
      <c r="O11" s="10" t="s">
        <v>28</v>
      </c>
      <c r="P11" s="21" t="s">
        <v>73</v>
      </c>
      <c r="Q11" s="21" t="s">
        <v>72</v>
      </c>
      <c r="R11" s="1" t="str">
        <f t="shared" si="3"/>
        <v>8 &amp; 2026-11-09 &amp; Midterm-1 &amp; 08-Arrays 2D &amp; bjlo2-Ch06 \\</v>
      </c>
      <c r="S11" s="17" t="s">
        <v>18</v>
      </c>
    </row>
    <row r="12" spans="1:19" x14ac:dyDescent="0.2">
      <c r="L12" s="5">
        <v>46342</v>
      </c>
      <c r="M12" s="6">
        <v>9</v>
      </c>
      <c r="N12" s="5" t="str">
        <f t="shared" si="2"/>
        <v>2026-11-16</v>
      </c>
      <c r="O12" s="7" t="s">
        <v>23</v>
      </c>
      <c r="P12" s="21" t="s">
        <v>58</v>
      </c>
      <c r="Q12" s="21" t="s">
        <v>23</v>
      </c>
      <c r="R12" s="1" t="str">
        <f t="shared" si="3"/>
        <v>9 &amp; 2026-11-16 &amp; \, &amp; 09-String &amp; \, \\</v>
      </c>
      <c r="S12" s="17" t="s">
        <v>18</v>
      </c>
    </row>
    <row r="13" spans="1:19" x14ac:dyDescent="0.2">
      <c r="L13" s="5">
        <v>46349</v>
      </c>
      <c r="M13" s="6">
        <v>10</v>
      </c>
      <c r="N13" s="5" t="str">
        <f t="shared" si="2"/>
        <v>2026-11-23</v>
      </c>
      <c r="O13" s="7" t="s">
        <v>23</v>
      </c>
      <c r="P13" s="21" t="s">
        <v>74</v>
      </c>
      <c r="Q13" s="21" t="s">
        <v>75</v>
      </c>
      <c r="R13" s="1" t="str">
        <f t="shared" si="3"/>
        <v>10 &amp; 2026-11-23 &amp; \, &amp; 10-Input/Output &amp; bjlo2-Ch07 \\</v>
      </c>
      <c r="S13" s="17" t="s">
        <v>18</v>
      </c>
    </row>
    <row r="14" spans="1:19" x14ac:dyDescent="0.2">
      <c r="L14" s="5">
        <v>46356</v>
      </c>
      <c r="M14" s="6">
        <v>11</v>
      </c>
      <c r="N14" s="5" t="str">
        <f t="shared" si="2"/>
        <v>2026-11-30</v>
      </c>
      <c r="O14" s="7" t="s">
        <v>23</v>
      </c>
      <c r="P14" s="21" t="s">
        <v>76</v>
      </c>
      <c r="Q14" s="21" t="s">
        <v>75</v>
      </c>
      <c r="R14" s="1" t="str">
        <f t="shared" si="3"/>
        <v>11 &amp; 2026-11-30 &amp; \, &amp; 11-Exception handling + Testing jUnit &amp; bjlo2-Ch07 \\</v>
      </c>
      <c r="S14" s="17" t="s">
        <v>18</v>
      </c>
    </row>
    <row r="15" spans="1:19" x14ac:dyDescent="0.2">
      <c r="L15" s="5">
        <v>46363</v>
      </c>
      <c r="M15" s="6">
        <v>12</v>
      </c>
      <c r="N15" s="5" t="str">
        <f t="shared" si="2"/>
        <v>2026-12-07</v>
      </c>
      <c r="O15" s="10" t="s">
        <v>33</v>
      </c>
      <c r="P15" s="21" t="s">
        <v>77</v>
      </c>
      <c r="Q15" s="21" t="s">
        <v>78</v>
      </c>
      <c r="R15" s="1" t="str">
        <f t="shared" si="3"/>
        <v>12 &amp; 2026-12-07 &amp; Midterm-2 &amp; 12-Recursion &amp; bjlo2-Ch13 \\</v>
      </c>
      <c r="S15" s="17" t="s">
        <v>18</v>
      </c>
    </row>
    <row r="16" spans="1:19" x14ac:dyDescent="0.2">
      <c r="L16" s="5">
        <v>46370</v>
      </c>
      <c r="M16" s="6">
        <v>13</v>
      </c>
      <c r="N16" s="5" t="str">
        <f t="shared" si="2"/>
        <v>2026-12-14</v>
      </c>
      <c r="O16" s="7" t="s">
        <v>23</v>
      </c>
      <c r="P16" s="21" t="s">
        <v>59</v>
      </c>
      <c r="Q16" s="21" t="s">
        <v>23</v>
      </c>
      <c r="R16" s="1" t="str">
        <f t="shared" si="3"/>
        <v>13 &amp; 2026-12-14 &amp; \, &amp; 13-Command Line Interface (CLI) &amp; \, \\</v>
      </c>
      <c r="S16" s="17" t="s">
        <v>18</v>
      </c>
    </row>
    <row r="17" spans="12:19" x14ac:dyDescent="0.2">
      <c r="L17" s="5">
        <v>46377</v>
      </c>
      <c r="M17" s="6">
        <v>14</v>
      </c>
      <c r="N17" s="5" t="str">
        <f t="shared" si="2"/>
        <v>2026-12-21</v>
      </c>
      <c r="O17" s="7" t="s">
        <v>23</v>
      </c>
      <c r="P17" s="21" t="s">
        <v>60</v>
      </c>
      <c r="Q17" s="21" t="s">
        <v>23</v>
      </c>
      <c r="R17" s="1" t="str">
        <f t="shared" si="3"/>
        <v>14 &amp; 2026-12-21 &amp; \, &amp; 14-git &amp; \, \\</v>
      </c>
      <c r="S17" s="17" t="s">
        <v>18</v>
      </c>
    </row>
    <row r="18" spans="12:19" x14ac:dyDescent="0.2">
      <c r="L18" s="23"/>
      <c r="M18" s="24"/>
      <c r="N18" s="23"/>
      <c r="O18" s="25"/>
      <c r="P18" s="14"/>
      <c r="Q18" s="14"/>
      <c r="R18" s="15"/>
      <c r="S18" s="17"/>
    </row>
    <row r="19" spans="12:19" x14ac:dyDescent="0.2">
      <c r="S19" s="17" t="s">
        <v>18</v>
      </c>
    </row>
    <row r="20" spans="12:19" x14ac:dyDescent="0.2">
      <c r="S20" s="17" t="s">
        <v>18</v>
      </c>
    </row>
  </sheetData>
  <pageMargins left="0.7" right="0.7" top="0.75" bottom="0.75" header="0.3" footer="0.3"/>
  <pageSetup paperSize="9" orientation="portrait" horizontalDpi="0" verticalDpi="0"/>
  <headerFooter>
    <oddHeader>&amp;C&amp;"Calibri,Regular"&amp;K000000&amp;F / &amp;A</oddHeader>
    <oddFooter>&amp;C&amp;"Calibri,Regular"&amp;K000000&amp;P/&amp;N&amp;R&amp;"Calibri,Regular"&amp;K000000&amp;D T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C76E-2BE1-2944-BBF2-820A07708A2F}">
  <dimension ref="A1:AB20"/>
  <sheetViews>
    <sheetView tabSelected="1" topLeftCell="S1" workbookViewId="0">
      <selection activeCell="U22" sqref="U22"/>
    </sheetView>
  </sheetViews>
  <sheetFormatPr baseColWidth="10" defaultRowHeight="16" x14ac:dyDescent="0.2"/>
  <cols>
    <col min="1" max="1" width="8.1640625" style="1" bestFit="1" customWidth="1"/>
    <col min="2" max="2" width="5.33203125" style="1" bestFit="1" customWidth="1"/>
    <col min="3" max="3" width="15.33203125" style="1" bestFit="1" customWidth="1"/>
    <col min="4" max="4" width="12.83203125" style="1" bestFit="1" customWidth="1"/>
    <col min="5" max="5" width="16.33203125" style="1" bestFit="1" customWidth="1"/>
    <col min="6" max="6" width="15.1640625" style="1" bestFit="1" customWidth="1"/>
    <col min="7" max="7" width="13.6640625" style="1" bestFit="1" customWidth="1"/>
    <col min="8" max="8" width="5.1640625" style="1" bestFit="1" customWidth="1"/>
    <col min="9" max="9" width="81.1640625" style="1" bestFit="1" customWidth="1"/>
    <col min="10" max="10" width="2.33203125" style="18" bestFit="1" customWidth="1"/>
    <col min="11" max="11" width="8.1640625" style="1" bestFit="1" customWidth="1"/>
    <col min="12" max="12" width="5.33203125" style="1" bestFit="1" customWidth="1"/>
    <col min="13" max="13" width="12.83203125" style="1" bestFit="1" customWidth="1"/>
    <col min="14" max="14" width="16.33203125" style="1" bestFit="1" customWidth="1"/>
    <col min="15" max="15" width="15.1640625" style="1" bestFit="1" customWidth="1"/>
    <col min="16" max="16" width="13.6640625" style="1" bestFit="1" customWidth="1"/>
    <col min="17" max="17" width="5.1640625" style="1" bestFit="1" customWidth="1"/>
    <col min="18" max="18" width="81.1640625" style="1" bestFit="1" customWidth="1"/>
    <col min="19" max="19" width="2.33203125" style="18" bestFit="1" customWidth="1"/>
    <col min="20" max="20" width="10.83203125" style="1"/>
    <col min="21" max="21" width="11.83203125" style="1" bestFit="1" customWidth="1"/>
    <col min="22" max="22" width="3.5" style="1" bestFit="1" customWidth="1"/>
    <col min="23" max="23" width="11.83203125" style="1" bestFit="1" customWidth="1"/>
    <col min="24" max="24" width="11.5" style="1" bestFit="1" customWidth="1"/>
    <col min="25" max="25" width="41.5" style="1" bestFit="1" customWidth="1"/>
    <col min="26" max="26" width="12" style="1" bestFit="1" customWidth="1"/>
    <col min="27" max="27" width="63.6640625" style="1" bestFit="1" customWidth="1"/>
    <col min="28" max="28" width="2.33203125" style="18" bestFit="1" customWidth="1"/>
    <col min="29" max="16384" width="10.83203125" style="1"/>
  </cols>
  <sheetData>
    <row r="1" spans="1:28" x14ac:dyDescent="0.2">
      <c r="A1" s="4" t="s">
        <v>0</v>
      </c>
      <c r="B1" s="4" t="s">
        <v>1</v>
      </c>
      <c r="C1" s="4" t="s">
        <v>56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1" t="str">
        <f>SUBSTITUTE(_xlfn.TEXTJOIN(" &amp; ",TRUE,A1:H1) &amp; " \\", "%", "\%")</f>
        <v>Course &amp; Sec. &amp; CourseSection &amp; Instructor &amp; Lecture &amp; Lab &amp; TA &amp; Size \\</v>
      </c>
      <c r="J1" s="17" t="s">
        <v>17</v>
      </c>
      <c r="K1" s="4" t="s">
        <v>0</v>
      </c>
      <c r="L1" s="4" t="s">
        <v>1</v>
      </c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1" t="str">
        <f t="shared" ref="R1:R6" si="0">SUBSTITUTE(_xlfn.TEXTJOIN(" &amp; ",TRUE,K1:Q1) &amp; " \\", "%", "\%")</f>
        <v>Course &amp; Sec. &amp; Instructor &amp; Lecture &amp; Lab &amp; TA &amp; Size \\</v>
      </c>
      <c r="S1" s="17" t="s">
        <v>17</v>
      </c>
      <c r="U1" s="2" t="s">
        <v>19</v>
      </c>
      <c r="V1" s="3" t="s">
        <v>20</v>
      </c>
      <c r="W1" s="2" t="s">
        <v>19</v>
      </c>
      <c r="X1" s="4" t="s">
        <v>21</v>
      </c>
      <c r="Y1" s="4" t="s">
        <v>22</v>
      </c>
      <c r="Z1" s="22" t="s">
        <v>61</v>
      </c>
      <c r="AA1" s="1" t="str">
        <f>SUBSTITUTE(_xlfn.TEXTJOIN(" &amp; ",TRUE,V1:Y1) &amp; " \\", "%", "\%")</f>
        <v>W &amp; Week of &amp; Milestones &amp; Topics \\</v>
      </c>
      <c r="AB1" s="17" t="s">
        <v>17</v>
      </c>
    </row>
    <row r="2" spans="1:28" x14ac:dyDescent="0.2">
      <c r="A2" s="10"/>
      <c r="B2" s="10"/>
      <c r="C2" s="10"/>
      <c r="D2" s="10"/>
      <c r="E2" s="10"/>
      <c r="F2" s="10"/>
      <c r="G2" s="10"/>
      <c r="H2" s="10"/>
      <c r="J2" s="17" t="s">
        <v>18</v>
      </c>
      <c r="K2" s="10"/>
      <c r="L2" s="10"/>
      <c r="M2" s="10"/>
      <c r="N2" s="10"/>
      <c r="O2" s="10"/>
      <c r="P2" s="10"/>
      <c r="Q2" s="10"/>
      <c r="S2" s="17" t="s">
        <v>18</v>
      </c>
      <c r="AB2" s="17" t="s">
        <v>18</v>
      </c>
    </row>
    <row r="3" spans="1:28" x14ac:dyDescent="0.2">
      <c r="A3" s="16"/>
      <c r="B3" s="16"/>
      <c r="C3" s="16"/>
      <c r="D3" s="16"/>
      <c r="E3" s="16"/>
      <c r="F3" s="16"/>
      <c r="G3" s="16"/>
      <c r="H3" s="16"/>
      <c r="I3" s="15"/>
      <c r="J3" s="17" t="s">
        <v>18</v>
      </c>
      <c r="K3" s="16"/>
      <c r="L3" s="16"/>
      <c r="M3" s="16"/>
      <c r="N3" s="16"/>
      <c r="O3" s="16"/>
      <c r="P3" s="16"/>
      <c r="Q3" s="16"/>
      <c r="R3" s="15"/>
      <c r="S3" s="17" t="s">
        <v>18</v>
      </c>
      <c r="U3" s="11"/>
      <c r="V3" s="12"/>
      <c r="W3" s="11"/>
      <c r="X3" s="13"/>
      <c r="Y3" s="14"/>
      <c r="Z3" s="14"/>
      <c r="AA3" s="15"/>
      <c r="AB3" s="17"/>
    </row>
    <row r="4" spans="1:28" ht="17" thickBot="1" x14ac:dyDescent="0.25">
      <c r="A4" s="19" t="s">
        <v>7</v>
      </c>
      <c r="B4" s="20">
        <v>1</v>
      </c>
      <c r="C4" s="20" t="str">
        <f>"\textbf{"&amp;A4&amp;"."&amp;TEXT(B4,"00")&amp;"}"</f>
        <v>\textbf{cis112.01}</v>
      </c>
      <c r="D4" s="7" t="s">
        <v>8</v>
      </c>
      <c r="E4" s="7" t="s">
        <v>9</v>
      </c>
      <c r="F4" s="7" t="s">
        <v>10</v>
      </c>
      <c r="G4" s="7" t="s">
        <v>11</v>
      </c>
      <c r="H4" s="6">
        <v>30</v>
      </c>
      <c r="I4" s="1" t="str">
        <f>SUBSTITUTE(_xlfn.TEXTJOIN(" &amp; ",TRUE,C4:H4) &amp; " \\", "%", "\%")</f>
        <v>\textbf{cis112.01} &amp; HalukBingol &amp; M 14:00 @120 &amp; W 14:00 @ 206 &amp; Kagan Ozetci &amp; 30 \\</v>
      </c>
      <c r="J4" s="17" t="s">
        <v>18</v>
      </c>
      <c r="K4" s="7" t="s">
        <v>7</v>
      </c>
      <c r="L4" s="6">
        <v>1</v>
      </c>
      <c r="M4" s="7" t="s">
        <v>8</v>
      </c>
      <c r="N4" s="7" t="s">
        <v>9</v>
      </c>
      <c r="O4" s="7" t="s">
        <v>10</v>
      </c>
      <c r="P4" s="7" t="s">
        <v>11</v>
      </c>
      <c r="Q4" s="6">
        <v>30</v>
      </c>
      <c r="R4" s="1" t="str">
        <f t="shared" si="0"/>
        <v>cis112 &amp; 1 &amp; HalukBingol &amp; M 14:00 @120 &amp; W 14:00 @ 206 &amp; Kagan Ozetci &amp; 30 \\</v>
      </c>
      <c r="S4" s="17" t="s">
        <v>18</v>
      </c>
      <c r="U4" s="5">
        <v>46293</v>
      </c>
      <c r="V4" s="6">
        <v>1</v>
      </c>
      <c r="W4" s="5" t="str">
        <f>TEXT(U4,"yyyy-aa-gg")</f>
        <v>2026-09-28</v>
      </c>
      <c r="X4" s="7" t="s">
        <v>23</v>
      </c>
      <c r="Y4" s="8" t="s">
        <v>79</v>
      </c>
      <c r="Z4" s="26" t="s">
        <v>80</v>
      </c>
      <c r="AA4" s="1" t="str">
        <f>SUBSTITUTE(_xlfn.TEXTJOIN(" &amp; ",TRUE,V4:Z4) &amp; " \\", "%", "\%")</f>
        <v>1 &amp; 2026-09-28 &amp; \, &amp; 01-OOP: Objects and classes &amp; bjlo2-Ch08 \\</v>
      </c>
      <c r="AB4" s="17" t="s">
        <v>18</v>
      </c>
    </row>
    <row r="5" spans="1:28" ht="17" thickBot="1" x14ac:dyDescent="0.25">
      <c r="A5" s="21" t="s">
        <v>7</v>
      </c>
      <c r="B5" s="20">
        <v>2</v>
      </c>
      <c r="C5" s="20" t="str">
        <f t="shared" ref="C5:C6" si="1">"\textbf{"&amp;A5&amp;"."&amp;TEXT(B5,"00")&amp;"}"</f>
        <v>\textbf{cis112.02}</v>
      </c>
      <c r="D5" s="7" t="s">
        <v>12</v>
      </c>
      <c r="E5" s="7" t="s">
        <v>13</v>
      </c>
      <c r="F5" s="7" t="s">
        <v>14</v>
      </c>
      <c r="G5" s="7" t="s">
        <v>11</v>
      </c>
      <c r="H5" s="6">
        <v>40</v>
      </c>
      <c r="I5" s="1" t="str">
        <f t="shared" ref="I5:I6" si="2">SUBSTITUTE(_xlfn.TEXTJOIN(" &amp; ",TRUE,C5:H5) &amp; " \\", "%", "\%")</f>
        <v>\textbf{cis112.02} &amp; Ruhan Ikeda &amp; M 11:00@H-Z03 &amp; W 11:00 @ 210 &amp; Kagan Ozetci &amp; 40 \\</v>
      </c>
      <c r="J5" s="17" t="s">
        <v>18</v>
      </c>
      <c r="K5" s="7" t="s">
        <v>7</v>
      </c>
      <c r="L5" s="6">
        <v>2</v>
      </c>
      <c r="M5" s="7" t="s">
        <v>12</v>
      </c>
      <c r="N5" s="7" t="s">
        <v>13</v>
      </c>
      <c r="O5" s="7" t="s">
        <v>14</v>
      </c>
      <c r="P5" s="7" t="s">
        <v>11</v>
      </c>
      <c r="Q5" s="6">
        <v>40</v>
      </c>
      <c r="R5" s="1" t="str">
        <f t="shared" si="0"/>
        <v>cis112 &amp; 2 &amp; Ruhan Ikeda &amp; M 11:00@H-Z03 &amp; W 11:00 @ 210 &amp; Kagan Ozetci &amp; 40 \\</v>
      </c>
      <c r="S5" s="17" t="s">
        <v>18</v>
      </c>
      <c r="U5" s="5">
        <v>46300</v>
      </c>
      <c r="V5" s="6">
        <v>2</v>
      </c>
      <c r="W5" s="5" t="str">
        <f t="shared" ref="W5:W17" si="3">TEXT(U5,"yyyy-aa-gg")</f>
        <v>2026-10-05</v>
      </c>
      <c r="X5" s="7" t="s">
        <v>23</v>
      </c>
      <c r="Y5" s="8" t="s">
        <v>81</v>
      </c>
      <c r="Z5" s="26" t="s">
        <v>82</v>
      </c>
      <c r="AA5" s="1" t="str">
        <f t="shared" ref="AA5:AA17" si="4">SUBSTITUTE(_xlfn.TEXTJOIN(" &amp; ",TRUE,V5:Z5) &amp; " \\", "%", "\%")</f>
        <v>2 &amp; 2026-10-05 &amp; \, &amp; 02-OOP: Inheritance &amp; bjeo7-Ch09 \\</v>
      </c>
      <c r="AB5" s="17" t="s">
        <v>18</v>
      </c>
    </row>
    <row r="6" spans="1:28" ht="17" thickBot="1" x14ac:dyDescent="0.25">
      <c r="A6" s="21" t="s">
        <v>7</v>
      </c>
      <c r="B6" s="20">
        <v>3</v>
      </c>
      <c r="C6" s="20" t="str">
        <f t="shared" si="1"/>
        <v>\textbf{cis112.03}</v>
      </c>
      <c r="D6" s="7" t="s">
        <v>12</v>
      </c>
      <c r="E6" s="7" t="s">
        <v>13</v>
      </c>
      <c r="F6" s="7" t="s">
        <v>15</v>
      </c>
      <c r="G6" s="7" t="s">
        <v>16</v>
      </c>
      <c r="H6" s="6">
        <v>30</v>
      </c>
      <c r="I6" s="1" t="str">
        <f t="shared" si="2"/>
        <v>\textbf{cis112.03} &amp; Ruhan Ikeda &amp; M 11:00@H-Z03 &amp; T 11:00 @ 206 &amp; Berke Celtikci &amp; 30 \\</v>
      </c>
      <c r="J6" s="17" t="s">
        <v>18</v>
      </c>
      <c r="K6" s="7" t="s">
        <v>7</v>
      </c>
      <c r="L6" s="6">
        <v>3</v>
      </c>
      <c r="M6" s="7" t="s">
        <v>12</v>
      </c>
      <c r="N6" s="7" t="s">
        <v>13</v>
      </c>
      <c r="O6" s="7" t="s">
        <v>15</v>
      </c>
      <c r="P6" s="7" t="s">
        <v>16</v>
      </c>
      <c r="Q6" s="6">
        <v>30</v>
      </c>
      <c r="R6" s="1" t="str">
        <f t="shared" si="0"/>
        <v>cis112 &amp; 3 &amp; Ruhan Ikeda &amp; M 11:00@H-Z03 &amp; T 11:00 @ 206 &amp; Berke Celtikci &amp; 30 \\</v>
      </c>
      <c r="S6" s="17" t="s">
        <v>18</v>
      </c>
      <c r="U6" s="5">
        <v>46307</v>
      </c>
      <c r="V6" s="6">
        <v>3</v>
      </c>
      <c r="W6" s="5" t="str">
        <f t="shared" si="3"/>
        <v>2026-10-12</v>
      </c>
      <c r="X6" s="7" t="s">
        <v>23</v>
      </c>
      <c r="Y6" s="8" t="s">
        <v>83</v>
      </c>
      <c r="Z6" s="26" t="s">
        <v>84</v>
      </c>
      <c r="AA6" s="1" t="str">
        <f t="shared" si="4"/>
        <v>3 &amp; 2026-10-12 &amp; \, &amp; 03-OOP: Interfaces &amp; bjeo7-Ch10 \\</v>
      </c>
      <c r="AB6" s="17" t="s">
        <v>18</v>
      </c>
    </row>
    <row r="7" spans="1:28" ht="17" thickBot="1" x14ac:dyDescent="0.25">
      <c r="J7" s="17" t="s">
        <v>18</v>
      </c>
      <c r="U7" s="9">
        <v>46307</v>
      </c>
      <c r="V7" s="6">
        <v>4</v>
      </c>
      <c r="W7" s="5" t="str">
        <f t="shared" si="3"/>
        <v>2026-10-12</v>
      </c>
      <c r="X7" s="7" t="s">
        <v>23</v>
      </c>
      <c r="Y7" s="8" t="s">
        <v>24</v>
      </c>
      <c r="Z7" s="26" t="s">
        <v>23</v>
      </c>
      <c r="AA7" s="1" t="str">
        <f t="shared" si="4"/>
        <v>4 &amp; 2026-10-12 &amp; \, &amp; 04-OOP: Generics + ArrayLists &amp; \, \\</v>
      </c>
      <c r="AB7" s="17" t="s">
        <v>18</v>
      </c>
    </row>
    <row r="8" spans="1:28" ht="17" thickBot="1" x14ac:dyDescent="0.25">
      <c r="J8" s="17" t="s">
        <v>18</v>
      </c>
      <c r="U8" s="5">
        <v>46314</v>
      </c>
      <c r="V8" s="6">
        <v>5</v>
      </c>
      <c r="W8" s="5" t="str">
        <f t="shared" si="3"/>
        <v>2026-10-19</v>
      </c>
      <c r="X8" s="7" t="s">
        <v>23</v>
      </c>
      <c r="Y8" s="8" t="s">
        <v>25</v>
      </c>
      <c r="Z8" s="26" t="s">
        <v>23</v>
      </c>
      <c r="AA8" s="1" t="str">
        <f t="shared" si="4"/>
        <v>5 &amp; 2026-10-19 &amp; \, &amp; 05-Array: Stack &amp; \, \\</v>
      </c>
      <c r="AB8" s="17" t="s">
        <v>18</v>
      </c>
    </row>
    <row r="9" spans="1:28" ht="17" thickBot="1" x14ac:dyDescent="0.25">
      <c r="J9" s="17" t="s">
        <v>18</v>
      </c>
      <c r="U9" s="5">
        <v>46321</v>
      </c>
      <c r="V9" s="6">
        <v>6</v>
      </c>
      <c r="W9" s="5" t="str">
        <f t="shared" si="3"/>
        <v>2026-10-26</v>
      </c>
      <c r="X9" s="7" t="s">
        <v>23</v>
      </c>
      <c r="Y9" s="8" t="s">
        <v>26</v>
      </c>
      <c r="Z9" s="26" t="s">
        <v>23</v>
      </c>
      <c r="AA9" s="1" t="str">
        <f t="shared" si="4"/>
        <v>6 &amp; 2026-10-26 &amp; \, &amp; 06-Array: Queue (normal+circular) &amp; \, \\</v>
      </c>
      <c r="AB9" s="17" t="s">
        <v>18</v>
      </c>
    </row>
    <row r="10" spans="1:28" ht="17" thickBot="1" x14ac:dyDescent="0.25">
      <c r="J10" s="17" t="s">
        <v>18</v>
      </c>
      <c r="U10" s="5">
        <v>46328</v>
      </c>
      <c r="V10" s="6">
        <v>7</v>
      </c>
      <c r="W10" s="5" t="str">
        <f t="shared" si="3"/>
        <v>2026-11-02</v>
      </c>
      <c r="X10" s="7" t="s">
        <v>23</v>
      </c>
      <c r="Y10" s="8" t="s">
        <v>27</v>
      </c>
      <c r="Z10" s="26" t="s">
        <v>23</v>
      </c>
      <c r="AA10" s="1" t="str">
        <f t="shared" si="4"/>
        <v>7 &amp; 2026-11-02 &amp; \, &amp; 07-Generic: Stack + Queue  &amp; \, \\</v>
      </c>
      <c r="AB10" s="17" t="s">
        <v>18</v>
      </c>
    </row>
    <row r="11" spans="1:28" ht="17" thickBot="1" x14ac:dyDescent="0.25">
      <c r="J11" s="17" t="s">
        <v>18</v>
      </c>
      <c r="U11" s="5">
        <v>46335</v>
      </c>
      <c r="V11" s="6">
        <v>8</v>
      </c>
      <c r="W11" s="5" t="str">
        <f t="shared" si="3"/>
        <v>2026-11-09</v>
      </c>
      <c r="X11" s="10" t="s">
        <v>28</v>
      </c>
      <c r="Y11" s="8" t="s">
        <v>29</v>
      </c>
      <c r="Z11" s="26" t="s">
        <v>23</v>
      </c>
      <c r="AA11" s="1" t="str">
        <f t="shared" si="4"/>
        <v>8 &amp; 2026-11-09 &amp; Midterm-1 &amp; 08-LinkedList: Singly + Doubly &amp; \, \\</v>
      </c>
      <c r="AB11" s="17" t="s">
        <v>18</v>
      </c>
    </row>
    <row r="12" spans="1:28" ht="17" thickBot="1" x14ac:dyDescent="0.25">
      <c r="U12" s="5">
        <v>46342</v>
      </c>
      <c r="V12" s="6">
        <v>9</v>
      </c>
      <c r="W12" s="5" t="str">
        <f t="shared" si="3"/>
        <v>2026-11-16</v>
      </c>
      <c r="X12" s="7" t="s">
        <v>23</v>
      </c>
      <c r="Y12" s="8" t="s">
        <v>30</v>
      </c>
      <c r="Z12" s="26" t="s">
        <v>23</v>
      </c>
      <c r="AA12" s="1" t="str">
        <f t="shared" si="4"/>
        <v>9 &amp; 2026-11-16 &amp; \, &amp; 09-LinkedList: Stack + Queue + Deque &amp; \, \\</v>
      </c>
      <c r="AB12" s="17" t="s">
        <v>18</v>
      </c>
    </row>
    <row r="13" spans="1:28" ht="17" thickBot="1" x14ac:dyDescent="0.25">
      <c r="U13" s="5">
        <v>46349</v>
      </c>
      <c r="V13" s="6">
        <v>10</v>
      </c>
      <c r="W13" s="5" t="str">
        <f t="shared" si="3"/>
        <v>2026-11-23</v>
      </c>
      <c r="X13" s="7" t="s">
        <v>23</v>
      </c>
      <c r="Y13" s="8" t="s">
        <v>31</v>
      </c>
      <c r="Z13" s="26" t="s">
        <v>23</v>
      </c>
      <c r="AA13" s="1" t="str">
        <f t="shared" si="4"/>
        <v>10 &amp; 2026-11-23 &amp; \, &amp; 10-Trees: Binary + N-ary + Traverse &amp; \, \\</v>
      </c>
      <c r="AB13" s="17" t="s">
        <v>18</v>
      </c>
    </row>
    <row r="14" spans="1:28" ht="17" thickBot="1" x14ac:dyDescent="0.25">
      <c r="U14" s="5">
        <v>46356</v>
      </c>
      <c r="V14" s="6">
        <v>11</v>
      </c>
      <c r="W14" s="5" t="str">
        <f t="shared" si="3"/>
        <v>2026-11-30</v>
      </c>
      <c r="X14" s="7" t="s">
        <v>23</v>
      </c>
      <c r="Y14" s="8" t="s">
        <v>32</v>
      </c>
      <c r="Z14" s="26" t="s">
        <v>23</v>
      </c>
      <c r="AA14" s="1" t="str">
        <f t="shared" si="4"/>
        <v>11 &amp; 2026-11-30 &amp; \, &amp; 11-Trees: Binary Search Trees &amp; \, \\</v>
      </c>
      <c r="AB14" s="17" t="s">
        <v>18</v>
      </c>
    </row>
    <row r="15" spans="1:28" ht="17" thickBot="1" x14ac:dyDescent="0.25">
      <c r="U15" s="5">
        <v>46363</v>
      </c>
      <c r="V15" s="6">
        <v>12</v>
      </c>
      <c r="W15" s="5" t="str">
        <f t="shared" si="3"/>
        <v>2026-12-07</v>
      </c>
      <c r="X15" s="10" t="s">
        <v>33</v>
      </c>
      <c r="Y15" s="8" t="s">
        <v>34</v>
      </c>
      <c r="Z15" s="26" t="s">
        <v>23</v>
      </c>
      <c r="AA15" s="1" t="str">
        <f t="shared" si="4"/>
        <v>12 &amp; 2026-12-07 &amp; Midterm-2 &amp; 12-Trees: Heap + PriorityQueue &amp; \, \\</v>
      </c>
      <c r="AB15" s="17" t="s">
        <v>18</v>
      </c>
    </row>
    <row r="16" spans="1:28" ht="17" thickBot="1" x14ac:dyDescent="0.25">
      <c r="U16" s="5">
        <v>46370</v>
      </c>
      <c r="V16" s="6">
        <v>13</v>
      </c>
      <c r="W16" s="5" t="str">
        <f t="shared" si="3"/>
        <v>2026-12-14</v>
      </c>
      <c r="X16" s="7" t="s">
        <v>23</v>
      </c>
      <c r="Y16" s="8" t="s">
        <v>35</v>
      </c>
      <c r="Z16" s="26" t="s">
        <v>23</v>
      </c>
      <c r="AA16" s="1" t="str">
        <f t="shared" si="4"/>
        <v>13 &amp; 2026-12-14 &amp; \, &amp; 13-Hashing &amp; \, \\</v>
      </c>
      <c r="AB16" s="17" t="s">
        <v>18</v>
      </c>
    </row>
    <row r="17" spans="21:28" ht="17" thickBot="1" x14ac:dyDescent="0.25">
      <c r="U17" s="5">
        <v>46377</v>
      </c>
      <c r="V17" s="6">
        <v>14</v>
      </c>
      <c r="W17" s="5" t="str">
        <f t="shared" si="3"/>
        <v>2026-12-21</v>
      </c>
      <c r="X17" s="7" t="s">
        <v>23</v>
      </c>
      <c r="Y17" s="8" t="s">
        <v>36</v>
      </c>
      <c r="Z17" s="26" t="s">
        <v>23</v>
      </c>
      <c r="AA17" s="1" t="str">
        <f t="shared" si="4"/>
        <v>14 &amp; 2026-12-21 &amp; \, &amp; 14-Graph: Representation + Algorithms &amp; \, \\</v>
      </c>
      <c r="AB17" s="17" t="s">
        <v>18</v>
      </c>
    </row>
    <row r="18" spans="21:28" x14ac:dyDescent="0.2">
      <c r="U18" s="11"/>
      <c r="V18" s="12"/>
      <c r="W18" s="11"/>
      <c r="X18" s="13"/>
      <c r="Y18" s="14"/>
      <c r="Z18" s="14"/>
      <c r="AA18" s="15"/>
      <c r="AB18" s="17"/>
    </row>
    <row r="19" spans="21:28" x14ac:dyDescent="0.2">
      <c r="AB19" s="17" t="s">
        <v>18</v>
      </c>
    </row>
    <row r="20" spans="21:28" x14ac:dyDescent="0.2">
      <c r="AB20" s="17" t="s">
        <v>18</v>
      </c>
    </row>
  </sheetData>
  <pageMargins left="0.7" right="0.7" top="0.75" bottom="0.75" header="0.3" footer="0.3"/>
  <pageSetup paperSize="9" orientation="portrait" horizontalDpi="0" verticalDpi="0"/>
  <headerFooter>
    <oddHeader>&amp;C&amp;"Calibri,Regular"&amp;K000000&amp;F / &amp;A</oddHeader>
    <oddFooter>&amp;C&amp;"Calibri,Regular"&amp;K000000&amp;P/&amp;N&amp;R&amp;"Calibri,Regular"&amp;K000000&amp;D T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cis111</vt:lpstr>
      <vt:lpstr>cis112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Haluk O. Bingol</dc:creator>
  <cp:lastModifiedBy>Haluk O. Bingol</cp:lastModifiedBy>
  <dcterms:created xsi:type="dcterms:W3CDTF">2023-02-25T12:25:10Z</dcterms:created>
  <dcterms:modified xsi:type="dcterms:W3CDTF">2026-10-02T17:09:31Z</dcterms:modified>
</cp:coreProperties>
</file>